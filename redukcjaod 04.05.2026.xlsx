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k8\OneDrive - IKEA\Pulpit\priv\"/>
    </mc:Choice>
  </mc:AlternateContent>
  <xr:revisionPtr revIDLastSave="0" documentId="13_ncr:1_{DBB03C89-FBC9-4140-9D12-1421A8C1E021}" xr6:coauthVersionLast="47" xr6:coauthVersionMax="47" xr10:uidLastSave="{00000000-0000-0000-0000-000000000000}"/>
  <bookViews>
    <workbookView xWindow="-110" yWindow="-110" windowWidth="19420" windowHeight="10300" xr2:uid="{84559EF7-CA32-4D63-9DDE-03CA17BEE9C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21" i="1"/>
  <c r="G35" i="1"/>
  <c r="G42" i="1"/>
  <c r="G7" i="1"/>
  <c r="F56" i="1"/>
  <c r="G56" i="1" s="1"/>
  <c r="I56" i="1"/>
  <c r="F50" i="1"/>
  <c r="G50" i="1" s="1"/>
  <c r="I42" i="1"/>
  <c r="F42" i="1"/>
  <c r="I35" i="1"/>
  <c r="F35" i="1"/>
  <c r="I28" i="1"/>
  <c r="F28" i="1"/>
  <c r="G28" i="1" s="1"/>
</calcChain>
</file>

<file path=xl/sharedStrings.xml><?xml version="1.0" encoding="utf-8"?>
<sst xmlns="http://schemas.openxmlformats.org/spreadsheetml/2006/main" count="212" uniqueCount="90">
  <si>
    <t>Data</t>
  </si>
  <si>
    <t>Dzień planu</t>
  </si>
  <si>
    <t>Posiłek</t>
  </si>
  <si>
    <t>Opis</t>
  </si>
  <si>
    <t>Uwagi</t>
  </si>
  <si>
    <t>Dzień 1</t>
  </si>
  <si>
    <t>Śniadanie</t>
  </si>
  <si>
    <t>2 tosty żytnie, masło, jajko na twardo, łyżka majonezu, szczypiorek, 5 mini pomidorków, 1/2 cebulki, łyżka oliwy, 2 kawy z mlekiem owsianym</t>
  </si>
  <si>
    <t>Obiad</t>
  </si>
  <si>
    <t>6 pierogów z kapustą i grzybami z wody, pół cebulki, olej do smażenia</t>
  </si>
  <si>
    <t>1 banan, 2 jabłka</t>
  </si>
  <si>
    <t>Odżywka białkowa</t>
  </si>
  <si>
    <t>1 porcja odżywki białkowej</t>
  </si>
  <si>
    <t>Kolacja</t>
  </si>
  <si>
    <t>1/4 zupy: wywar szparagowy, masło klarowane, cebula, czosnek, ziemniaki, włoszczyzna, fasola, groszek, orzo, śmietana</t>
  </si>
  <si>
    <t>RAZEM</t>
  </si>
  <si>
    <t>Suma dnia</t>
  </si>
  <si>
    <t>Kalorie powyżej celu redukcyjnego</t>
  </si>
  <si>
    <t>Dzień 2</t>
  </si>
  <si>
    <t>2 kromki chleba żytniego tostowane, 1/2 mozzarelli, łyżka oliwy, pomidory z cebulką</t>
  </si>
  <si>
    <t>200 g ugotowanego makaronu z sosem pomidorowym</t>
  </si>
  <si>
    <t>Ta sama zupa co 04.05, 1/4 całości</t>
  </si>
  <si>
    <t>Omlet z pieczarkami, 1/2 czerwonej papryki, kromka chleba</t>
  </si>
  <si>
    <t>Deser / odżywka</t>
  </si>
  <si>
    <t>Mały budyń czekoladowy + 2 porcje odżywki białkowej</t>
  </si>
  <si>
    <t>Białko bardzo dobre, kalorie raczej powyżej redukcji</t>
  </si>
  <si>
    <t>vs 1500</t>
  </si>
  <si>
    <t xml:space="preserve">spalone kalorie </t>
  </si>
  <si>
    <t xml:space="preserve"> Dzień 3 </t>
  </si>
  <si>
    <t xml:space="preserve">Smoothie: 3/4 porcji z mleka owsianego, truskawek, banana i odżywki białkowej </t>
  </si>
  <si>
    <t>Śniadanie 1</t>
  </si>
  <si>
    <t xml:space="preserve">Dzień 3 </t>
  </si>
  <si>
    <t xml:space="preserve">Śniadanie 2 </t>
  </si>
  <si>
    <t>Smoothie: pozostała 1/4 porcji</t>
  </si>
  <si>
    <t>Dzień 3</t>
  </si>
  <si>
    <t xml:space="preserve">Kalarepka </t>
  </si>
  <si>
    <t xml:space="preserve">Kolacja </t>
  </si>
  <si>
    <t xml:space="preserve">Sałatka: 1/2 paczki mieszanki sałat, pomidorki, cebulka, 1/2 mozzarelli, 1/2 awokado, 2 łyżeczki oliwy, kromka chleba </t>
  </si>
  <si>
    <t xml:space="preserve"> RAZEM </t>
  </si>
  <si>
    <t xml:space="preserve">Suma dnia </t>
  </si>
  <si>
    <t>Kalorie bardzo redukcyjne, białko nadal za niskie, cel 90-110 g</t>
  </si>
  <si>
    <t>Dzień 4</t>
  </si>
  <si>
    <t>śniadanie</t>
  </si>
  <si>
    <t>śniadanie 2</t>
  </si>
  <si>
    <t>obiad</t>
  </si>
  <si>
    <t>kolacja</t>
  </si>
  <si>
    <t>przekąska</t>
  </si>
  <si>
    <t>smothie 2/3</t>
  </si>
  <si>
    <t>Aktywność</t>
  </si>
  <si>
    <t>Białko</t>
  </si>
  <si>
    <t>Waga</t>
  </si>
  <si>
    <t>4 placki ziemniaczane + sałatka</t>
  </si>
  <si>
    <t>smothie 1/3</t>
  </si>
  <si>
    <t>2 x kawa z mlekiem owsianym</t>
  </si>
  <si>
    <t>dzień 5</t>
  </si>
  <si>
    <t>sushi 10 kawałków</t>
  </si>
  <si>
    <t>2 kanapki z mozzarela, 1 łyzeczką oliwy, pomidorkami</t>
  </si>
  <si>
    <t>fasolka szparagowa 300 g + łyżka oliwy, 2 jajka sadzone</t>
  </si>
  <si>
    <t xml:space="preserve">Smoothie: 1/4 porcji z mleka owsianego, truskawek, banana i odżywki białkowej </t>
  </si>
  <si>
    <t>dzień 6</t>
  </si>
  <si>
    <t>pół bajgla, jajecznica z 2 jajek, 3 plasterki mozzarelli, łyżeczka oliwy</t>
  </si>
  <si>
    <t>pomidorki z cebulką i łyżeczką oliwy</t>
  </si>
  <si>
    <t>pn</t>
  </si>
  <si>
    <t>wt</t>
  </si>
  <si>
    <t>śr</t>
  </si>
  <si>
    <t>czw</t>
  </si>
  <si>
    <t>pt</t>
  </si>
  <si>
    <t>sb</t>
  </si>
  <si>
    <t>lawasz vege duży z halumni</t>
  </si>
  <si>
    <t xml:space="preserve">kolacja </t>
  </si>
  <si>
    <t>odżywka</t>
  </si>
  <si>
    <t>ndz</t>
  </si>
  <si>
    <t>dzień 7</t>
  </si>
  <si>
    <t>ryż, 1/2 tofu, sos indyjski</t>
  </si>
  <si>
    <t>sałata, pomidory, cebulka, 1/2 mozzarelli, łyżka oliwy</t>
  </si>
  <si>
    <t>5 małych ciasteczek pszennych</t>
  </si>
  <si>
    <t>dzień 8</t>
  </si>
  <si>
    <t>Jajecznica, kromka chleba, pomidorki, cebulka, oliwa łyżeczka</t>
  </si>
  <si>
    <t>Przekąska</t>
  </si>
  <si>
    <t>Ryż, 1/2 tofu, sos indyjski</t>
  </si>
  <si>
    <t>Lody sorbet</t>
  </si>
  <si>
    <t>Sałata, pomidory, cebulka, 1/2 mozzarelli, łyżka oliwy</t>
  </si>
  <si>
    <t>Kalorie przyjęte</t>
  </si>
  <si>
    <t>spacer</t>
  </si>
  <si>
    <t>bieżnia</t>
  </si>
  <si>
    <t>czas aktywności</t>
  </si>
  <si>
    <t>1h</t>
  </si>
  <si>
    <t>0,5h</t>
  </si>
  <si>
    <t>15 kg</t>
  </si>
  <si>
    <t>Podwieczorek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</si>
</sst>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0"/>
      <color theme="1"/>
      <name val="Arial Unicode MS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" fontId="1" fillId="0" borderId="0" xfId="0" applyNumberFormat="1" applyFont="1"/>
    <xf numFmtId="0" fontId="2" fillId="0" borderId="0" xfId="0" applyFont="1" applyAlignment="1">
      <alignment vertical="center"/>
    </xf>
    <xf numFmtId="16" fontId="0" fillId="0" borderId="0" xfId="0" applyNumberFormat="1" applyAlignment="1">
      <alignment vertical="center"/>
    </xf>
    <xf numFmtId="16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9E48-6000-43BD-A20B-5D4C9BA41525}">
  <dimension ref="A1:N56"/>
  <sheetViews>
    <sheetView tabSelected="1" topLeftCell="C1" zoomScale="107" workbookViewId="0">
      <pane ySplit="1" topLeftCell="A2" activePane="bottomLeft" state="frozen"/>
      <selection pane="bottomLeft" activeCell="D6" sqref="D6"/>
    </sheetView>
  </sheetViews>
  <sheetFormatPr defaultRowHeight="14.5"/>
  <cols>
    <col min="3" max="3" width="11.81640625" customWidth="1"/>
    <col min="4" max="4" width="14.1796875" customWidth="1"/>
    <col min="5" max="5" width="25.08984375" customWidth="1"/>
    <col min="6" max="6" width="14.08984375" customWidth="1"/>
    <col min="7" max="7" width="10.6328125" customWidth="1"/>
    <col min="8" max="8" width="13.6328125" customWidth="1"/>
    <col min="9" max="10" width="11" customWidth="1"/>
  </cols>
  <sheetData>
    <row r="1" spans="1:14" s="3" customFormat="1">
      <c r="A1" s="3" t="s">
        <v>0</v>
      </c>
      <c r="C1" s="3" t="s">
        <v>1</v>
      </c>
      <c r="D1" s="3" t="s">
        <v>2</v>
      </c>
      <c r="E1" s="3" t="s">
        <v>3</v>
      </c>
      <c r="F1" s="3" t="s">
        <v>82</v>
      </c>
      <c r="G1" s="3" t="s">
        <v>26</v>
      </c>
      <c r="H1" s="3" t="s">
        <v>27</v>
      </c>
      <c r="I1" s="3" t="s">
        <v>49</v>
      </c>
      <c r="K1" s="3" t="s">
        <v>48</v>
      </c>
      <c r="L1" s="3" t="s">
        <v>85</v>
      </c>
      <c r="M1" s="3" t="s">
        <v>50</v>
      </c>
      <c r="N1" s="3" t="s">
        <v>4</v>
      </c>
    </row>
    <row r="2" spans="1:14">
      <c r="A2" s="1">
        <v>46146</v>
      </c>
      <c r="B2" s="1" t="s">
        <v>62</v>
      </c>
      <c r="C2" t="s">
        <v>5</v>
      </c>
      <c r="D2" t="s">
        <v>6</v>
      </c>
      <c r="E2" t="s">
        <v>7</v>
      </c>
      <c r="F2">
        <v>637</v>
      </c>
      <c r="I2">
        <v>13</v>
      </c>
    </row>
    <row r="3" spans="1:14">
      <c r="A3" s="1">
        <v>46146</v>
      </c>
      <c r="B3" s="1" t="s">
        <v>62</v>
      </c>
      <c r="C3" t="s">
        <v>5</v>
      </c>
      <c r="D3" t="s">
        <v>8</v>
      </c>
      <c r="E3" t="s">
        <v>9</v>
      </c>
      <c r="F3">
        <v>610</v>
      </c>
      <c r="I3">
        <v>15</v>
      </c>
    </row>
    <row r="4" spans="1:14">
      <c r="A4" s="1">
        <v>46146</v>
      </c>
      <c r="B4" s="1" t="s">
        <v>62</v>
      </c>
      <c r="C4" t="s">
        <v>5</v>
      </c>
      <c r="D4" t="s">
        <v>89</v>
      </c>
      <c r="E4" t="s">
        <v>10</v>
      </c>
      <c r="F4">
        <v>260</v>
      </c>
      <c r="I4">
        <v>2</v>
      </c>
    </row>
    <row r="5" spans="1:14">
      <c r="A5" s="1">
        <v>46146</v>
      </c>
      <c r="B5" s="1" t="s">
        <v>62</v>
      </c>
      <c r="C5" t="s">
        <v>5</v>
      </c>
      <c r="D5" t="s">
        <v>46</v>
      </c>
      <c r="E5" t="s">
        <v>12</v>
      </c>
      <c r="F5">
        <v>110</v>
      </c>
      <c r="I5">
        <v>22</v>
      </c>
    </row>
    <row r="6" spans="1:14">
      <c r="A6" s="1">
        <v>46146</v>
      </c>
      <c r="B6" s="1" t="s">
        <v>62</v>
      </c>
      <c r="C6" t="s">
        <v>5</v>
      </c>
      <c r="D6" t="s">
        <v>13</v>
      </c>
      <c r="E6" t="s">
        <v>14</v>
      </c>
      <c r="F6">
        <v>360</v>
      </c>
      <c r="I6">
        <v>13</v>
      </c>
    </row>
    <row r="7" spans="1:14" s="2" customFormat="1">
      <c r="A7" s="4">
        <v>46146</v>
      </c>
      <c r="B7" s="1" t="s">
        <v>62</v>
      </c>
      <c r="C7" s="2" t="s">
        <v>5</v>
      </c>
      <c r="D7" s="2" t="s">
        <v>15</v>
      </c>
      <c r="E7" s="2" t="s">
        <v>16</v>
      </c>
      <c r="F7" s="2">
        <v>1977</v>
      </c>
      <c r="G7" s="2">
        <f>F7-H7</f>
        <v>277</v>
      </c>
      <c r="H7" s="2">
        <v>1700</v>
      </c>
      <c r="I7" s="2">
        <v>65</v>
      </c>
      <c r="K7" s="2" t="s">
        <v>83</v>
      </c>
      <c r="L7" s="2" t="s">
        <v>86</v>
      </c>
      <c r="N7" s="2" t="s">
        <v>17</v>
      </c>
    </row>
    <row r="8" spans="1:14">
      <c r="A8" s="1"/>
      <c r="B8" s="1"/>
      <c r="G8" s="2"/>
    </row>
    <row r="9" spans="1:14">
      <c r="A9" s="1">
        <v>46147</v>
      </c>
      <c r="B9" s="1" t="s">
        <v>63</v>
      </c>
      <c r="C9" t="s">
        <v>18</v>
      </c>
      <c r="D9" t="s">
        <v>6</v>
      </c>
      <c r="E9" t="s">
        <v>19</v>
      </c>
      <c r="F9">
        <v>455</v>
      </c>
      <c r="G9" s="2"/>
      <c r="I9">
        <v>17</v>
      </c>
    </row>
    <row r="10" spans="1:14">
      <c r="A10" s="1">
        <v>46147</v>
      </c>
      <c r="B10" s="1" t="s">
        <v>63</v>
      </c>
      <c r="C10" t="s">
        <v>18</v>
      </c>
      <c r="D10" t="s">
        <v>8</v>
      </c>
      <c r="E10" t="s">
        <v>20</v>
      </c>
      <c r="F10">
        <v>360</v>
      </c>
      <c r="G10" s="2"/>
      <c r="I10">
        <v>12</v>
      </c>
    </row>
    <row r="11" spans="1:14">
      <c r="A11" s="1">
        <v>46147</v>
      </c>
      <c r="B11" s="1" t="s">
        <v>63</v>
      </c>
      <c r="C11" t="s">
        <v>18</v>
      </c>
      <c r="D11" t="s">
        <v>89</v>
      </c>
      <c r="E11" t="s">
        <v>21</v>
      </c>
      <c r="F11">
        <v>360</v>
      </c>
      <c r="G11" s="2"/>
      <c r="I11">
        <v>13</v>
      </c>
    </row>
    <row r="12" spans="1:14">
      <c r="A12" s="1">
        <v>46147</v>
      </c>
      <c r="B12" s="1" t="s">
        <v>63</v>
      </c>
      <c r="C12" t="s">
        <v>18</v>
      </c>
      <c r="D12" t="s">
        <v>13</v>
      </c>
      <c r="E12" t="s">
        <v>22</v>
      </c>
      <c r="F12">
        <v>350</v>
      </c>
      <c r="G12" s="2"/>
      <c r="I12">
        <v>22</v>
      </c>
    </row>
    <row r="13" spans="1:14">
      <c r="A13" s="1">
        <v>46147</v>
      </c>
      <c r="B13" s="1" t="s">
        <v>63</v>
      </c>
      <c r="C13" t="s">
        <v>18</v>
      </c>
      <c r="D13" t="s">
        <v>23</v>
      </c>
      <c r="E13" t="s">
        <v>24</v>
      </c>
      <c r="F13">
        <v>360</v>
      </c>
      <c r="G13" s="2"/>
      <c r="I13">
        <v>47</v>
      </c>
    </row>
    <row r="14" spans="1:14" s="2" customFormat="1">
      <c r="A14" s="4">
        <v>46147</v>
      </c>
      <c r="B14" s="1" t="s">
        <v>63</v>
      </c>
      <c r="C14" s="2" t="s">
        <v>18</v>
      </c>
      <c r="D14" s="2" t="s">
        <v>15</v>
      </c>
      <c r="E14" s="2" t="s">
        <v>16</v>
      </c>
      <c r="F14" s="2">
        <v>1885</v>
      </c>
      <c r="G14" s="2">
        <f t="shared" ref="G14:G56" si="0">F14-H14</f>
        <v>185</v>
      </c>
      <c r="H14" s="2">
        <v>1700</v>
      </c>
      <c r="I14" s="2">
        <v>111</v>
      </c>
      <c r="K14" s="2" t="s">
        <v>84</v>
      </c>
      <c r="L14" s="2" t="s">
        <v>87</v>
      </c>
      <c r="M14" s="2" t="s">
        <v>88</v>
      </c>
      <c r="N14" s="2" t="s">
        <v>25</v>
      </c>
    </row>
    <row r="15" spans="1:14">
      <c r="G15" s="2"/>
    </row>
    <row r="16" spans="1:14">
      <c r="A16" s="1">
        <v>46148</v>
      </c>
      <c r="B16" s="1" t="s">
        <v>64</v>
      </c>
      <c r="C16" t="s">
        <v>28</v>
      </c>
      <c r="D16" t="s">
        <v>30</v>
      </c>
      <c r="E16" t="s">
        <v>29</v>
      </c>
      <c r="F16">
        <v>278</v>
      </c>
      <c r="G16" s="2"/>
      <c r="I16">
        <v>19</v>
      </c>
    </row>
    <row r="17" spans="1:14">
      <c r="A17" s="1">
        <v>46148</v>
      </c>
      <c r="B17" s="1" t="s">
        <v>64</v>
      </c>
      <c r="C17" t="s">
        <v>31</v>
      </c>
      <c r="D17" t="s">
        <v>32</v>
      </c>
      <c r="E17" t="s">
        <v>33</v>
      </c>
      <c r="F17">
        <v>92</v>
      </c>
      <c r="G17" s="2"/>
      <c r="I17">
        <v>6</v>
      </c>
    </row>
    <row r="18" spans="1:14">
      <c r="A18" s="1">
        <v>46148</v>
      </c>
      <c r="B18" s="1" t="s">
        <v>64</v>
      </c>
      <c r="C18" t="s">
        <v>34</v>
      </c>
      <c r="D18" t="s">
        <v>8</v>
      </c>
      <c r="E18" t="s">
        <v>14</v>
      </c>
      <c r="F18">
        <v>360</v>
      </c>
      <c r="G18" s="2"/>
      <c r="I18">
        <v>13</v>
      </c>
    </row>
    <row r="19" spans="1:14">
      <c r="A19" s="1">
        <v>46148</v>
      </c>
      <c r="B19" s="1" t="s">
        <v>64</v>
      </c>
      <c r="C19" t="s">
        <v>31</v>
      </c>
      <c r="D19" t="s">
        <v>89</v>
      </c>
      <c r="E19" t="s">
        <v>35</v>
      </c>
      <c r="F19">
        <v>35</v>
      </c>
      <c r="G19" s="2"/>
      <c r="I19">
        <v>2</v>
      </c>
    </row>
    <row r="20" spans="1:14">
      <c r="A20" s="1">
        <v>46148</v>
      </c>
      <c r="B20" s="1" t="s">
        <v>64</v>
      </c>
      <c r="C20" t="s">
        <v>31</v>
      </c>
      <c r="D20" t="s">
        <v>36</v>
      </c>
      <c r="E20" t="s">
        <v>37</v>
      </c>
      <c r="F20">
        <v>500</v>
      </c>
      <c r="G20" s="2"/>
      <c r="I20">
        <v>17</v>
      </c>
    </row>
    <row r="21" spans="1:14" s="2" customFormat="1">
      <c r="A21" s="4">
        <v>46148</v>
      </c>
      <c r="B21" s="1" t="s">
        <v>64</v>
      </c>
      <c r="C21" s="2" t="s">
        <v>34</v>
      </c>
      <c r="D21" s="2" t="s">
        <v>38</v>
      </c>
      <c r="E21" s="2" t="s">
        <v>39</v>
      </c>
      <c r="F21" s="2">
        <v>1265</v>
      </c>
      <c r="G21" s="2">
        <f t="shared" si="0"/>
        <v>-635</v>
      </c>
      <c r="H21" s="2">
        <v>1900</v>
      </c>
      <c r="I21" s="2">
        <v>57</v>
      </c>
      <c r="N21" s="2" t="s">
        <v>40</v>
      </c>
    </row>
    <row r="22" spans="1:14">
      <c r="G22" s="2"/>
    </row>
    <row r="23" spans="1:14">
      <c r="A23" s="1">
        <v>46149</v>
      </c>
      <c r="B23" s="1" t="s">
        <v>65</v>
      </c>
      <c r="C23" t="s">
        <v>41</v>
      </c>
      <c r="D23" t="s">
        <v>42</v>
      </c>
      <c r="E23" t="s">
        <v>47</v>
      </c>
      <c r="F23">
        <v>320</v>
      </c>
      <c r="G23" s="2"/>
      <c r="I23">
        <v>19</v>
      </c>
    </row>
    <row r="24" spans="1:14">
      <c r="A24" s="1">
        <v>46149</v>
      </c>
      <c r="B24" s="1" t="s">
        <v>65</v>
      </c>
      <c r="C24" t="s">
        <v>41</v>
      </c>
      <c r="D24" t="s">
        <v>43</v>
      </c>
      <c r="E24" t="s">
        <v>53</v>
      </c>
      <c r="F24">
        <v>60</v>
      </c>
      <c r="G24" s="2"/>
      <c r="I24">
        <v>1</v>
      </c>
    </row>
    <row r="25" spans="1:14">
      <c r="A25" s="1">
        <v>46149</v>
      </c>
      <c r="B25" s="1" t="s">
        <v>65</v>
      </c>
      <c r="C25" t="s">
        <v>41</v>
      </c>
      <c r="D25" t="s">
        <v>44</v>
      </c>
      <c r="E25" t="s">
        <v>51</v>
      </c>
      <c r="F25" s="5">
        <v>600</v>
      </c>
      <c r="G25" s="2"/>
      <c r="I25">
        <v>12</v>
      </c>
    </row>
    <row r="26" spans="1:14">
      <c r="A26" s="1">
        <v>46149</v>
      </c>
      <c r="B26" s="1" t="s">
        <v>65</v>
      </c>
      <c r="C26" t="s">
        <v>41</v>
      </c>
      <c r="D26" t="s">
        <v>46</v>
      </c>
      <c r="E26" t="s">
        <v>52</v>
      </c>
      <c r="F26">
        <v>160</v>
      </c>
      <c r="G26" s="2"/>
      <c r="I26">
        <v>9</v>
      </c>
    </row>
    <row r="27" spans="1:14">
      <c r="A27" s="1">
        <v>46149</v>
      </c>
      <c r="B27" s="1" t="s">
        <v>65</v>
      </c>
      <c r="C27" t="s">
        <v>41</v>
      </c>
      <c r="D27" t="s">
        <v>45</v>
      </c>
      <c r="E27" t="s">
        <v>37</v>
      </c>
      <c r="F27" s="5">
        <v>470</v>
      </c>
      <c r="G27" s="2"/>
      <c r="I27">
        <v>17</v>
      </c>
    </row>
    <row r="28" spans="1:14" s="2" customFormat="1">
      <c r="A28" s="4">
        <v>46149</v>
      </c>
      <c r="B28" s="4" t="s">
        <v>65</v>
      </c>
      <c r="C28" s="2" t="s">
        <v>41</v>
      </c>
      <c r="D28" s="2" t="s">
        <v>38</v>
      </c>
      <c r="E28" s="2" t="s">
        <v>39</v>
      </c>
      <c r="F28" s="2">
        <f>SUM(F23:F27)</f>
        <v>1610</v>
      </c>
      <c r="G28" s="2">
        <f t="shared" si="0"/>
        <v>-90</v>
      </c>
      <c r="H28" s="2">
        <v>1700</v>
      </c>
      <c r="I28" s="2">
        <f>SUM(I23:I27)</f>
        <v>58</v>
      </c>
    </row>
    <row r="29" spans="1:14">
      <c r="A29" s="1"/>
      <c r="B29" s="1"/>
      <c r="G29" s="2"/>
    </row>
    <row r="30" spans="1:14">
      <c r="A30" s="1">
        <v>46150</v>
      </c>
      <c r="B30" s="1" t="s">
        <v>66</v>
      </c>
      <c r="C30" t="s">
        <v>54</v>
      </c>
      <c r="D30" t="s">
        <v>42</v>
      </c>
      <c r="E30" t="s">
        <v>29</v>
      </c>
      <c r="F30" s="5">
        <v>360</v>
      </c>
      <c r="G30" s="2"/>
      <c r="I30">
        <v>21</v>
      </c>
    </row>
    <row r="31" spans="1:14">
      <c r="A31" s="1">
        <v>46150</v>
      </c>
      <c r="B31" s="1" t="s">
        <v>66</v>
      </c>
      <c r="C31" t="s">
        <v>54</v>
      </c>
      <c r="D31" t="s">
        <v>43</v>
      </c>
      <c r="E31" t="s">
        <v>56</v>
      </c>
      <c r="F31" s="5">
        <v>430</v>
      </c>
      <c r="G31" s="2"/>
      <c r="I31">
        <v>22</v>
      </c>
    </row>
    <row r="32" spans="1:14">
      <c r="A32" s="1">
        <v>46150</v>
      </c>
      <c r="B32" s="1" t="s">
        <v>66</v>
      </c>
      <c r="C32" t="s">
        <v>54</v>
      </c>
      <c r="D32" t="s">
        <v>44</v>
      </c>
      <c r="E32" t="s">
        <v>57</v>
      </c>
      <c r="F32" s="5">
        <v>385</v>
      </c>
      <c r="G32" s="2"/>
      <c r="I32">
        <v>18</v>
      </c>
    </row>
    <row r="33" spans="1:9">
      <c r="A33" s="1">
        <v>46150</v>
      </c>
      <c r="B33" s="1" t="s">
        <v>66</v>
      </c>
      <c r="C33" t="s">
        <v>54</v>
      </c>
      <c r="D33" t="s">
        <v>46</v>
      </c>
      <c r="E33" t="s">
        <v>58</v>
      </c>
      <c r="F33" s="5">
        <v>120</v>
      </c>
      <c r="G33" s="2"/>
      <c r="I33">
        <v>7</v>
      </c>
    </row>
    <row r="34" spans="1:9">
      <c r="A34" s="1">
        <v>46150</v>
      </c>
      <c r="B34" s="1" t="s">
        <v>66</v>
      </c>
      <c r="C34" t="s">
        <v>54</v>
      </c>
      <c r="D34" t="s">
        <v>45</v>
      </c>
      <c r="E34" t="s">
        <v>55</v>
      </c>
      <c r="F34" s="5">
        <v>350</v>
      </c>
      <c r="G34" s="2"/>
      <c r="I34">
        <v>8</v>
      </c>
    </row>
    <row r="35" spans="1:9" s="2" customFormat="1">
      <c r="A35" s="4">
        <v>46150</v>
      </c>
      <c r="B35" s="4" t="s">
        <v>66</v>
      </c>
      <c r="C35" s="2" t="s">
        <v>54</v>
      </c>
      <c r="D35" s="2" t="s">
        <v>38</v>
      </c>
      <c r="E35" s="2" t="s">
        <v>39</v>
      </c>
      <c r="F35" s="2">
        <f>SUM(F30:F34)</f>
        <v>1645</v>
      </c>
      <c r="G35" s="2">
        <f t="shared" si="0"/>
        <v>-55</v>
      </c>
      <c r="H35" s="2">
        <v>1700</v>
      </c>
      <c r="I35" s="2">
        <f>SUM(I30:I34)</f>
        <v>76</v>
      </c>
    </row>
    <row r="36" spans="1:9">
      <c r="A36" s="1"/>
      <c r="B36" s="1"/>
      <c r="D36" s="2"/>
      <c r="E36" s="2"/>
      <c r="G36" s="2"/>
    </row>
    <row r="37" spans="1:9">
      <c r="A37" s="1">
        <v>46151</v>
      </c>
      <c r="B37" s="1" t="s">
        <v>67</v>
      </c>
      <c r="C37" t="s">
        <v>59</v>
      </c>
      <c r="D37" t="s">
        <v>42</v>
      </c>
      <c r="E37" t="s">
        <v>60</v>
      </c>
      <c r="F37" s="5">
        <v>480</v>
      </c>
      <c r="G37" s="2"/>
      <c r="I37">
        <v>30</v>
      </c>
    </row>
    <row r="38" spans="1:9">
      <c r="A38" s="1">
        <v>46151</v>
      </c>
      <c r="B38" s="1" t="s">
        <v>67</v>
      </c>
      <c r="C38" t="s">
        <v>59</v>
      </c>
      <c r="D38" t="s">
        <v>43</v>
      </c>
      <c r="E38" t="s">
        <v>53</v>
      </c>
      <c r="F38">
        <v>60</v>
      </c>
      <c r="G38" s="2"/>
      <c r="I38">
        <v>1</v>
      </c>
    </row>
    <row r="39" spans="1:9">
      <c r="A39" s="1">
        <v>46151</v>
      </c>
      <c r="B39" s="1" t="s">
        <v>67</v>
      </c>
      <c r="C39" t="s">
        <v>59</v>
      </c>
      <c r="D39" t="s">
        <v>44</v>
      </c>
      <c r="E39" t="s">
        <v>68</v>
      </c>
      <c r="F39" s="5">
        <v>750</v>
      </c>
      <c r="G39" s="2"/>
      <c r="I39">
        <v>30</v>
      </c>
    </row>
    <row r="40" spans="1:9">
      <c r="A40" s="1">
        <v>46151</v>
      </c>
      <c r="B40" s="1" t="s">
        <v>67</v>
      </c>
      <c r="C40" t="s">
        <v>59</v>
      </c>
      <c r="D40" t="s">
        <v>46</v>
      </c>
      <c r="E40" t="s">
        <v>61</v>
      </c>
      <c r="F40" s="5">
        <v>80</v>
      </c>
      <c r="G40" s="2"/>
      <c r="I40">
        <v>1</v>
      </c>
    </row>
    <row r="41" spans="1:9">
      <c r="A41" s="1">
        <v>46151</v>
      </c>
      <c r="B41" s="1" t="s">
        <v>67</v>
      </c>
      <c r="C41" t="s">
        <v>59</v>
      </c>
      <c r="D41" t="s">
        <v>69</v>
      </c>
      <c r="E41" t="s">
        <v>70</v>
      </c>
      <c r="F41" s="5">
        <v>140</v>
      </c>
      <c r="G41" s="2"/>
      <c r="I41">
        <v>30</v>
      </c>
    </row>
    <row r="42" spans="1:9" s="2" customFormat="1">
      <c r="A42" s="4">
        <v>46151</v>
      </c>
      <c r="B42" s="4" t="s">
        <v>67</v>
      </c>
      <c r="C42" s="2" t="s">
        <v>59</v>
      </c>
      <c r="D42" s="2" t="s">
        <v>38</v>
      </c>
      <c r="E42" s="2" t="s">
        <v>39</v>
      </c>
      <c r="F42" s="2">
        <f>SUM(F37:F41)</f>
        <v>1510</v>
      </c>
      <c r="G42" s="2">
        <f t="shared" si="0"/>
        <v>-290</v>
      </c>
      <c r="H42" s="2">
        <v>1800</v>
      </c>
      <c r="I42" s="2">
        <f>SUM(I37:I41)</f>
        <v>92</v>
      </c>
    </row>
    <row r="43" spans="1:9">
      <c r="A43" s="5"/>
      <c r="G43" s="2"/>
    </row>
    <row r="44" spans="1:9">
      <c r="A44" s="6">
        <v>46152</v>
      </c>
      <c r="B44" s="1" t="s">
        <v>71</v>
      </c>
      <c r="C44" t="s">
        <v>72</v>
      </c>
      <c r="D44" t="s">
        <v>6</v>
      </c>
      <c r="E44" t="s">
        <v>77</v>
      </c>
      <c r="F44" s="5">
        <v>350</v>
      </c>
      <c r="G44" s="2"/>
      <c r="I44">
        <v>21</v>
      </c>
    </row>
    <row r="45" spans="1:9">
      <c r="A45" s="6">
        <v>46152</v>
      </c>
      <c r="B45" s="1" t="s">
        <v>71</v>
      </c>
      <c r="C45" t="s">
        <v>72</v>
      </c>
      <c r="D45" t="s">
        <v>43</v>
      </c>
      <c r="E45" t="s">
        <v>11</v>
      </c>
      <c r="F45">
        <v>140</v>
      </c>
      <c r="G45" s="2"/>
      <c r="I45">
        <v>25</v>
      </c>
    </row>
    <row r="46" spans="1:9">
      <c r="A46" s="6">
        <v>46152</v>
      </c>
      <c r="B46" s="1" t="s">
        <v>71</v>
      </c>
      <c r="C46" t="s">
        <v>72</v>
      </c>
      <c r="D46" t="s">
        <v>8</v>
      </c>
      <c r="E46" t="s">
        <v>79</v>
      </c>
      <c r="F46">
        <v>580</v>
      </c>
      <c r="G46" s="2"/>
      <c r="I46">
        <v>28</v>
      </c>
    </row>
    <row r="47" spans="1:9">
      <c r="A47" s="6">
        <v>46152</v>
      </c>
      <c r="B47" s="1" t="s">
        <v>71</v>
      </c>
      <c r="C47" t="s">
        <v>72</v>
      </c>
      <c r="D47" t="s">
        <v>89</v>
      </c>
      <c r="E47" t="s">
        <v>80</v>
      </c>
      <c r="F47">
        <v>120</v>
      </c>
      <c r="G47" s="2"/>
      <c r="I47">
        <v>1</v>
      </c>
    </row>
    <row r="48" spans="1:9">
      <c r="A48" s="6">
        <v>46152</v>
      </c>
      <c r="B48" s="1" t="s">
        <v>71</v>
      </c>
      <c r="C48" t="s">
        <v>72</v>
      </c>
      <c r="D48" t="s">
        <v>13</v>
      </c>
      <c r="E48" t="s">
        <v>81</v>
      </c>
      <c r="F48">
        <v>300</v>
      </c>
      <c r="G48" s="2"/>
      <c r="I48">
        <v>15</v>
      </c>
    </row>
    <row r="49" spans="1:10">
      <c r="A49" s="1">
        <v>46152</v>
      </c>
      <c r="B49" t="s">
        <v>71</v>
      </c>
      <c r="C49" t="s">
        <v>72</v>
      </c>
      <c r="D49" t="s">
        <v>78</v>
      </c>
      <c r="E49" t="s">
        <v>75</v>
      </c>
      <c r="F49">
        <v>200</v>
      </c>
      <c r="G49" s="2"/>
      <c r="I49">
        <v>5</v>
      </c>
    </row>
    <row r="50" spans="1:10" s="8" customFormat="1">
      <c r="A50" s="7">
        <v>46152</v>
      </c>
      <c r="B50" s="7" t="s">
        <v>71</v>
      </c>
      <c r="C50" s="8" t="s">
        <v>72</v>
      </c>
      <c r="D50" s="8" t="s">
        <v>15</v>
      </c>
      <c r="E50" s="8" t="s">
        <v>16</v>
      </c>
      <c r="F50" s="9">
        <f>SUM(F44:F49)</f>
        <v>1690</v>
      </c>
      <c r="G50" s="2">
        <f t="shared" si="0"/>
        <v>-110</v>
      </c>
      <c r="H50" s="8">
        <v>1800</v>
      </c>
      <c r="I50" s="8">
        <v>95</v>
      </c>
    </row>
    <row r="51" spans="1:10">
      <c r="A51" s="1"/>
      <c r="B51" s="1"/>
      <c r="F51" s="5"/>
      <c r="G51" s="2"/>
    </row>
    <row r="52" spans="1:10">
      <c r="A52" s="1">
        <v>46153</v>
      </c>
      <c r="B52" s="1" t="s">
        <v>62</v>
      </c>
      <c r="C52" t="s">
        <v>76</v>
      </c>
      <c r="D52" t="s">
        <v>42</v>
      </c>
      <c r="E52" t="s">
        <v>29</v>
      </c>
      <c r="F52" s="5">
        <v>360</v>
      </c>
      <c r="G52" s="2"/>
      <c r="I52">
        <v>21</v>
      </c>
    </row>
    <row r="53" spans="1:10">
      <c r="A53" s="1">
        <v>46153</v>
      </c>
      <c r="B53" s="1" t="s">
        <v>62</v>
      </c>
      <c r="C53" t="s">
        <v>76</v>
      </c>
      <c r="D53" t="s">
        <v>44</v>
      </c>
      <c r="E53" t="s">
        <v>73</v>
      </c>
      <c r="F53">
        <v>580</v>
      </c>
      <c r="G53" s="2"/>
      <c r="I53">
        <v>28</v>
      </c>
    </row>
    <row r="54" spans="1:10">
      <c r="A54" s="1">
        <v>46153</v>
      </c>
      <c r="B54" s="1" t="s">
        <v>62</v>
      </c>
      <c r="C54" t="s">
        <v>76</v>
      </c>
      <c r="D54" t="s">
        <v>89</v>
      </c>
      <c r="E54" t="s">
        <v>58</v>
      </c>
      <c r="F54" s="5">
        <v>120</v>
      </c>
      <c r="G54" s="2"/>
      <c r="I54">
        <v>9</v>
      </c>
    </row>
    <row r="55" spans="1:10">
      <c r="A55" s="1">
        <v>46153</v>
      </c>
      <c r="B55" s="1" t="s">
        <v>62</v>
      </c>
      <c r="C55" t="s">
        <v>76</v>
      </c>
      <c r="D55" t="s">
        <v>45</v>
      </c>
      <c r="E55" t="s">
        <v>74</v>
      </c>
      <c r="F55" s="5">
        <v>300</v>
      </c>
      <c r="G55" s="2"/>
      <c r="I55">
        <v>15</v>
      </c>
    </row>
    <row r="56" spans="1:10">
      <c r="A56" s="1">
        <v>46153</v>
      </c>
      <c r="B56" s="1" t="s">
        <v>62</v>
      </c>
      <c r="C56" t="s">
        <v>76</v>
      </c>
      <c r="D56" s="8" t="s">
        <v>15</v>
      </c>
      <c r="E56" s="8" t="s">
        <v>16</v>
      </c>
      <c r="F56" s="2">
        <f>SUM(F52:F55)</f>
        <v>1360</v>
      </c>
      <c r="G56" s="2">
        <f t="shared" si="0"/>
        <v>-390</v>
      </c>
      <c r="H56" s="2">
        <v>1750</v>
      </c>
      <c r="I56" s="2">
        <f>SUM(I52:I55)</f>
        <v>73</v>
      </c>
      <c r="J5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Jakubowska</dc:creator>
  <cp:lastModifiedBy>Anna Jakubowska</cp:lastModifiedBy>
  <dcterms:created xsi:type="dcterms:W3CDTF">2026-05-05T18:41:45Z</dcterms:created>
  <dcterms:modified xsi:type="dcterms:W3CDTF">2026-05-11T20:27:45Z</dcterms:modified>
</cp:coreProperties>
</file>